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Kuliahhh\SEMESTER 5\PRAKTIKUM KOMPUTASI\PEMODELAN GJB DAN GLBB\"/>
    </mc:Choice>
  </mc:AlternateContent>
  <xr:revisionPtr revIDLastSave="0" documentId="13_ncr:1_{B1F060F8-5315-446C-8019-D21B0DE4C70B}" xr6:coauthVersionLast="37" xr6:coauthVersionMax="37" xr10:uidLastSave="{00000000-0000-0000-0000-000000000000}"/>
  <bookViews>
    <workbookView xWindow="0" yWindow="0" windowWidth="20490" windowHeight="7545" tabRatio="405" activeTab="1" xr2:uid="{CDD15140-CA2E-49F7-985A-006AA4B5F8C8}"/>
  </bookViews>
  <sheets>
    <sheet name="Gerak Jatuh Bebas" sheetId="2" r:id="rId1"/>
    <sheet name="GLBB" sheetId="3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2" l="1"/>
  <c r="F11" i="3"/>
  <c r="G11" i="3"/>
  <c r="C7" i="3"/>
  <c r="D13" i="2" l="1"/>
  <c r="E13" i="2"/>
  <c r="B9" i="2" l="1"/>
</calcChain>
</file>

<file path=xl/sharedStrings.xml><?xml version="1.0" encoding="utf-8"?>
<sst xmlns="http://schemas.openxmlformats.org/spreadsheetml/2006/main" count="38" uniqueCount="29">
  <si>
    <t>GERAK JATUH BEBAS</t>
  </si>
  <si>
    <t>H0 (m)</t>
  </si>
  <si>
    <t>Ketinggian awal</t>
  </si>
  <si>
    <t>g (m/s^2)</t>
  </si>
  <si>
    <t>Percepatan Gravitasi</t>
  </si>
  <si>
    <t>a (s)</t>
  </si>
  <si>
    <t>waktu awal</t>
  </si>
  <si>
    <t>b (s)</t>
  </si>
  <si>
    <t>waktu akhir</t>
  </si>
  <si>
    <t>N</t>
  </si>
  <si>
    <t>jumlah data (integer)</t>
  </si>
  <si>
    <t>h = (b-a)/N</t>
  </si>
  <si>
    <t>step size</t>
  </si>
  <si>
    <t>t_i = a+i*h</t>
  </si>
  <si>
    <t>waktu saat i</t>
  </si>
  <si>
    <t xml:space="preserve">Solusi </t>
  </si>
  <si>
    <t>V = g*t</t>
  </si>
  <si>
    <t>Y = (1/2)*g*t^2</t>
  </si>
  <si>
    <t>Ht = H0-Y</t>
  </si>
  <si>
    <t xml:space="preserve">Posisi </t>
  </si>
  <si>
    <t xml:space="preserve">Kecepatan </t>
  </si>
  <si>
    <t xml:space="preserve">Ketinggian </t>
  </si>
  <si>
    <t>sumbu x</t>
  </si>
  <si>
    <t>t</t>
  </si>
  <si>
    <t xml:space="preserve">V0 </t>
  </si>
  <si>
    <t>a</t>
  </si>
  <si>
    <t>s</t>
  </si>
  <si>
    <t>GERAK LURUS BERUBAH BERATURAN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</si>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</sst>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4" xfId="0" applyBorder="1" applyAlignment="1">
      <alignment vertical="center"/>
    </xf>
    <xf numFmtId="0" fontId="0" fillId="0" borderId="0" xfId="0" applyAlignment="1"/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1" fillId="11" borderId="5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/>
    </xf>
    <xf numFmtId="0" fontId="1" fillId="12" borderId="5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3.sv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image" Target="../media/image8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11.jp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Grafik Ketinggian</a:t>
            </a:r>
            <a:r>
              <a:rPr lang="en-US" sz="1000" baseline="0"/>
              <a:t> terhadap waktu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0"/>
            <c:spPr>
              <a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a:blipFill>
              <a:ln w="22225">
                <a:solidFill>
                  <a:schemeClr val="l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20"/>
              <c:spPr>
                <a:blipFill>
                  <a:blip xmlns:r="http://schemas.openxmlformats.org/officeDocument/2006/relationships" r:embed="rId3">
                    <a:extLst>
                      <a:ext uri="{96DAC541-7B7A-43D3-8B79-37D633B846F1}">
                        <asvg:svgBlip xmlns:asvg="http://schemas.microsoft.com/office/drawing/2016/SVG/main" r:embed="rId4"/>
                      </a:ext>
                    </a:extLst>
                  </a:blip>
                  <a:stretch>
                    <a:fillRect/>
                  </a:stretch>
                </a:blipFill>
                <a:ln w="22225">
                  <a:solidFill>
                    <a:schemeClr val="lt1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3AD-436E-9637-E0975A59A52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243EEE5-0BAC-4C20-85C3-22D999A7527A}" type="YVALUE">
                      <a:rPr lang="en-US" baseline="0"/>
                      <a:pPr/>
                      <a:t>[Y VALUE]</a:t>
                    </a:fld>
                    <a:endParaRPr lang="en-ID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3AD-436E-9637-E0975A59A5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'Gerak Jatuh Bebas'!$B$13</c:f>
              <c:numCache>
                <c:formatCode>General</c:formatCode>
                <c:ptCount val="1"/>
                <c:pt idx="0">
                  <c:v>9.0999999999999837</c:v>
                </c:pt>
              </c:numCache>
            </c:numRef>
          </c:xVal>
          <c:yVal>
            <c:numRef>
              <c:f>'Gerak Jatuh Bebas'!$E$13</c:f>
              <c:numCache>
                <c:formatCode>General</c:formatCode>
                <c:ptCount val="1"/>
                <c:pt idx="0">
                  <c:v>194.23100000000142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D-436E-9637-E0975A59A52E}"/>
            </c:ext>
          </c:extLst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751573136"/>
        <c:axId val="751574384"/>
      </c:scatterChart>
      <c:valAx>
        <c:axId val="751573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Waktu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74384"/>
        <c:crosses val="autoZero"/>
        <c:crossBetween val="midCat"/>
      </c:valAx>
      <c:valAx>
        <c:axId val="751574384"/>
        <c:scaling>
          <c:orientation val="minMax"/>
          <c:max val="6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Ketinggian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7313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Grafik posisi</a:t>
            </a:r>
            <a:r>
              <a:rPr lang="en-US" sz="1000" baseline="0"/>
              <a:t> terhadap waktu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0"/>
            <c:spPr>
              <a:blipFill>
                <a:blip xmlns:r="http://schemas.openxmlformats.org/officeDocument/2006/relationships" r:embed="rId4">
                  <a:extLst>
                    <a:ext uri="{96DAC541-7B7A-43D3-8B79-37D633B846F1}">
                      <asvg:svgBlip xmlns:asvg="http://schemas.microsoft.com/office/drawing/2016/SVG/main" r:embed="rId5"/>
                    </a:ext>
                  </a:extLst>
                </a:blip>
                <a:stretch>
                  <a:fillRect/>
                </a:stretch>
              </a:blip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'Gerak Jatuh Bebas'!$B$13</c:f>
              <c:numCache>
                <c:formatCode>General</c:formatCode>
                <c:ptCount val="1"/>
                <c:pt idx="0">
                  <c:v>9.0999999999999837</c:v>
                </c:pt>
              </c:numCache>
            </c:numRef>
          </c:xVal>
          <c:yVal>
            <c:numRef>
              <c:f>'Gerak Jatuh Bebas'!$C$13</c:f>
              <c:numCache>
                <c:formatCode>General</c:formatCode>
                <c:ptCount val="1"/>
                <c:pt idx="0">
                  <c:v>405.76899999999858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17-4687-AC19-BED703D8D97F}"/>
            </c:ext>
          </c:extLst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751573136"/>
        <c:axId val="751574384"/>
      </c:scatterChart>
      <c:valAx>
        <c:axId val="751573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Waktu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74384"/>
        <c:crosses val="autoZero"/>
        <c:crossBetween val="midCat"/>
      </c:valAx>
      <c:valAx>
        <c:axId val="751574384"/>
        <c:scaling>
          <c:orientation val="minMax"/>
          <c:max val="6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Posisi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7313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Grafik Kecepatan</a:t>
            </a:r>
            <a:r>
              <a:rPr lang="en-US" sz="1000" baseline="0"/>
              <a:t> terhadap waktu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0"/>
            <c:spPr>
              <a:blipFill>
                <a:blip xmlns:r="http://schemas.openxmlformats.org/officeDocument/2006/relationships" r:embed="rId4">
                  <a:extLst>
                    <a:ext uri="{96DAC541-7B7A-43D3-8B79-37D633B846F1}">
                      <asvg:svgBlip xmlns:asvg="http://schemas.microsoft.com/office/drawing/2016/SVG/main" r:embed="rId5"/>
                    </a:ext>
                  </a:extLst>
                </a:blip>
                <a:stretch>
                  <a:fillRect/>
                </a:stretch>
              </a:blipFill>
              <a:ln w="22225">
                <a:solidFill>
                  <a:schemeClr val="l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20"/>
              <c:spPr>
                <a:blipFill>
                  <a:blip xmlns:r="http://schemas.openxmlformats.org/officeDocument/2006/relationships" r:embed="rId4">
                    <a:extLst>
                      <a:ext uri="{96DAC541-7B7A-43D3-8B79-37D633B846F1}">
                        <asvg:svgBlip xmlns:asvg="http://schemas.microsoft.com/office/drawing/2016/SVG/main" r:embed="rId5"/>
                      </a:ext>
                    </a:extLst>
                  </a:blip>
                  <a:stretch>
                    <a:fillRect/>
                  </a:stretch>
                </a:blipFill>
                <a:ln w="22225">
                  <a:solidFill>
                    <a:schemeClr val="lt1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5B-4556-A895-C97767CB8D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'Gerak Jatuh Bebas'!$B$13</c:f>
              <c:numCache>
                <c:formatCode>General</c:formatCode>
                <c:ptCount val="1"/>
                <c:pt idx="0">
                  <c:v>9.0999999999999837</c:v>
                </c:pt>
              </c:numCache>
            </c:numRef>
          </c:xVal>
          <c:yVal>
            <c:numRef>
              <c:f>'Gerak Jatuh Bebas'!$D$13</c:f>
              <c:numCache>
                <c:formatCode>General</c:formatCode>
                <c:ptCount val="1"/>
                <c:pt idx="0">
                  <c:v>89.179999999999851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5B-4556-A895-C97767CB8DEA}"/>
            </c:ext>
          </c:extLst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751573136"/>
        <c:axId val="751574384"/>
      </c:scatterChart>
      <c:valAx>
        <c:axId val="751573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Waktu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74384"/>
        <c:crosses val="autoZero"/>
        <c:crossBetween val="midCat"/>
      </c:valAx>
      <c:valAx>
        <c:axId val="751574384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Kecepatan</a:t>
                </a:r>
                <a:r>
                  <a:rPr lang="en-US" baseline="0"/>
                  <a:t> (m/s)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7313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4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'Gerak Jatuh Bebas'!$A$13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'Gerak Jatuh Bebas'!$E$13</c:f>
              <c:numCache>
                <c:formatCode>General</c:formatCode>
                <c:ptCount val="1"/>
                <c:pt idx="0">
                  <c:v>194.23100000000142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6F-4752-8631-C0785BB15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574912"/>
        <c:axId val="1175796384"/>
      </c:scatterChart>
      <c:valAx>
        <c:axId val="1071574912"/>
        <c:scaling>
          <c:orientation val="minMax"/>
          <c:max val="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796384"/>
        <c:crosses val="autoZero"/>
        <c:crossBetween val="midCat"/>
      </c:valAx>
      <c:valAx>
        <c:axId val="1175796384"/>
        <c:scaling>
          <c:orientation val="minMax"/>
          <c:max val="600"/>
          <c:min val="25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57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stretch>
        <a:fillRect/>
      </a:stretch>
    </a:blipFill>
    <a:ln w="9525" cap="flat" cmpd="sng" algn="ctr">
      <a:solidFill>
        <a:schemeClr val="accent1">
          <a:shade val="50000"/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456734241008527E-2"/>
          <c:y val="5.0517981074380401E-2"/>
          <c:w val="0.86717687304314361"/>
          <c:h val="0.838923941689882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69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0C4-41B8-82AE-A0E3B600F5DD}"/>
              </c:ext>
            </c:extLst>
          </c:dPt>
          <c:xVal>
            <c:numRef>
              <c:f>GLBB!$F$11</c:f>
              <c:numCache>
                <c:formatCode>General</c:formatCode>
                <c:ptCount val="1"/>
                <c:pt idx="0">
                  <c:v>94.864000000000019</c:v>
                </c:pt>
              </c:numCache>
            </c:numRef>
          </c:xVal>
          <c:yVal>
            <c:numRef>
              <c:f>GLBB!$B$11</c:f>
              <c:numCache>
                <c:formatCode>General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C4-41B8-82AE-A0E3B600F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13664"/>
        <c:axId val="460103184"/>
      </c:scatterChart>
      <c:valAx>
        <c:axId val="578813664"/>
        <c:scaling>
          <c:orientation val="minMax"/>
          <c:max val="45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03184"/>
        <c:crosses val="autoZero"/>
        <c:crossBetween val="midCat"/>
        <c:minorUnit val="100"/>
      </c:valAx>
      <c:valAx>
        <c:axId val="460103184"/>
        <c:scaling>
          <c:orientation val="minMax"/>
          <c:max val="2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813664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grafik</a:t>
            </a:r>
            <a:r>
              <a:rPr lang="en-ID" baseline="0"/>
              <a:t> kecepatan terhadap waktu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noFill/>
                <a:round/>
              </a:ln>
              <a:effectLst/>
            </c:spPr>
          </c:marker>
          <c:dPt>
            <c:idx val="0"/>
            <c:marker>
              <c:symbol val="circle"/>
              <c:size val="29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222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20B-4E98-A737-3D968E1F475D}"/>
              </c:ext>
            </c:extLst>
          </c:dPt>
          <c:xVal>
            <c:numRef>
              <c:f>GLBB!$C$11</c:f>
              <c:numCache>
                <c:formatCode>General</c:formatCode>
                <c:ptCount val="1"/>
                <c:pt idx="0">
                  <c:v>4.4000000000000004</c:v>
                </c:pt>
              </c:numCache>
            </c:numRef>
          </c:xVal>
          <c:yVal>
            <c:numRef>
              <c:f>GLBB!$G$11</c:f>
              <c:numCache>
                <c:formatCode>General</c:formatCode>
                <c:ptCount val="1"/>
                <c:pt idx="0">
                  <c:v>43.120000000000005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0B-4E98-A737-3D968E1F4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363712"/>
        <c:axId val="614757264"/>
      </c:scatterChart>
      <c:valAx>
        <c:axId val="608363712"/>
        <c:scaling>
          <c:orientation val="minMax"/>
          <c:max val="1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Waktu</a:t>
                </a:r>
                <a:r>
                  <a:rPr lang="en-ID" baseline="0"/>
                  <a:t> (s)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757264"/>
        <c:crosses val="autoZero"/>
        <c:crossBetween val="midCat"/>
        <c:minorUnit val="2"/>
      </c:valAx>
      <c:valAx>
        <c:axId val="6147572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Kecepatan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63712"/>
        <c:crossesAt val="0"/>
        <c:crossBetween val="midCat"/>
        <c:min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grafik</a:t>
            </a:r>
            <a:r>
              <a:rPr lang="en-ID" baseline="0"/>
              <a:t> posisi terhadap waktu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3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2225">
                <a:noFill/>
                <a:round/>
              </a:ln>
              <a:effectLst/>
            </c:spPr>
          </c:marker>
          <c:xVal>
            <c:numRef>
              <c:f>GLBB!$C$11</c:f>
              <c:numCache>
                <c:formatCode>General</c:formatCode>
                <c:ptCount val="1"/>
                <c:pt idx="0">
                  <c:v>4.4000000000000004</c:v>
                </c:pt>
              </c:numCache>
            </c:numRef>
          </c:xVal>
          <c:yVal>
            <c:numRef>
              <c:f>GLBB!$F$11</c:f>
              <c:numCache>
                <c:formatCode>General</c:formatCode>
                <c:ptCount val="1"/>
                <c:pt idx="0">
                  <c:v>94.864000000000019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E2-444F-A2EA-BF9DB237B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363712"/>
        <c:axId val="614757264"/>
      </c:scatterChart>
      <c:valAx>
        <c:axId val="608363712"/>
        <c:scaling>
          <c:orientation val="minMax"/>
          <c:max val="1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Waktu</a:t>
                </a:r>
                <a:r>
                  <a:rPr lang="en-ID" baseline="0"/>
                  <a:t> (s)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757264"/>
        <c:crosses val="autoZero"/>
        <c:crossBetween val="midCat"/>
        <c:minorUnit val="2"/>
      </c:valAx>
      <c:valAx>
        <c:axId val="614757264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Posisi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63712"/>
        <c:crossesAt val="0"/>
        <c:crossBetween val="midCat"/>
        <c:min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3536</xdr:colOff>
      <xdr:row>3</xdr:row>
      <xdr:rowOff>15312</xdr:rowOff>
    </xdr:from>
    <xdr:to>
      <xdr:col>20</xdr:col>
      <xdr:colOff>174400</xdr:colOff>
      <xdr:row>15</xdr:row>
      <xdr:rowOff>107324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9</xdr:row>
          <xdr:rowOff>142875</xdr:rowOff>
        </xdr:from>
        <xdr:to>
          <xdr:col>7</xdr:col>
          <xdr:colOff>419100</xdr:colOff>
          <xdr:row>14</xdr:row>
          <xdr:rowOff>38100</xdr:rowOff>
        </xdr:to>
        <xdr:sp macro="" textlink="">
          <xdr:nvSpPr>
            <xdr:cNvPr id="2051" name="CITR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5424</xdr:colOff>
      <xdr:row>15</xdr:row>
      <xdr:rowOff>180855</xdr:rowOff>
    </xdr:from>
    <xdr:to>
      <xdr:col>20</xdr:col>
      <xdr:colOff>204968</xdr:colOff>
      <xdr:row>28</xdr:row>
      <xdr:rowOff>180855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12639</xdr:colOff>
      <xdr:row>30</xdr:row>
      <xdr:rowOff>8946</xdr:rowOff>
    </xdr:from>
    <xdr:to>
      <xdr:col>20</xdr:col>
      <xdr:colOff>217025</xdr:colOff>
      <xdr:row>43</xdr:row>
      <xdr:rowOff>135183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541223</xdr:colOff>
      <xdr:row>3</xdr:row>
      <xdr:rowOff>12057</xdr:rowOff>
    </xdr:from>
    <xdr:to>
      <xdr:col>28</xdr:col>
      <xdr:colOff>3336</xdr:colOff>
      <xdr:row>15</xdr:row>
      <xdr:rowOff>60476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49437" y="677295"/>
          <a:ext cx="4300209" cy="2406991"/>
        </a:xfrm>
        <a:prstGeom prst="rect">
          <a:avLst/>
        </a:prstGeom>
      </xdr:spPr>
    </xdr:pic>
    <xdr:clientData/>
  </xdr:twoCellAnchor>
  <xdr:twoCellAnchor editAs="oneCell">
    <xdr:from>
      <xdr:col>20</xdr:col>
      <xdr:colOff>571461</xdr:colOff>
      <xdr:row>15</xdr:row>
      <xdr:rowOff>168797</xdr:rowOff>
    </xdr:from>
    <xdr:to>
      <xdr:col>28</xdr:col>
      <xdr:colOff>33574</xdr:colOff>
      <xdr:row>29</xdr:row>
      <xdr:rowOff>15119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79675" y="3192607"/>
          <a:ext cx="4300209" cy="2597988"/>
        </a:xfrm>
        <a:prstGeom prst="rect">
          <a:avLst/>
        </a:prstGeom>
      </xdr:spPr>
    </xdr:pic>
    <xdr:clientData/>
  </xdr:twoCellAnchor>
  <xdr:twoCellAnchor editAs="oneCell">
    <xdr:from>
      <xdr:col>20</xdr:col>
      <xdr:colOff>589643</xdr:colOff>
      <xdr:row>29</xdr:row>
      <xdr:rowOff>181429</xdr:rowOff>
    </xdr:from>
    <xdr:to>
      <xdr:col>28</xdr:col>
      <xdr:colOff>57852</xdr:colOff>
      <xdr:row>44</xdr:row>
      <xdr:rowOff>3124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697857" y="5956905"/>
          <a:ext cx="4306305" cy="2763862"/>
        </a:xfrm>
        <a:prstGeom prst="rect">
          <a:avLst/>
        </a:prstGeom>
      </xdr:spPr>
    </xdr:pic>
    <xdr:clientData/>
  </xdr:twoCellAnchor>
  <xdr:twoCellAnchor>
    <xdr:from>
      <xdr:col>0</xdr:col>
      <xdr:colOff>563940</xdr:colOff>
      <xdr:row>16</xdr:row>
      <xdr:rowOff>181429</xdr:rowOff>
    </xdr:from>
    <xdr:to>
      <xdr:col>6</xdr:col>
      <xdr:colOff>494392</xdr:colOff>
      <xdr:row>44</xdr:row>
      <xdr:rowOff>181429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3</xdr:row>
          <xdr:rowOff>85725</xdr:rowOff>
        </xdr:from>
        <xdr:to>
          <xdr:col>7</xdr:col>
          <xdr:colOff>571500</xdr:colOff>
          <xdr:row>7</xdr:row>
          <xdr:rowOff>123825</xdr:rowOff>
        </xdr:to>
        <xdr:sp macro="" textlink="">
          <xdr:nvSpPr>
            <xdr:cNvPr id="3073" name="CITR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165272</xdr:colOff>
      <xdr:row>12</xdr:row>
      <xdr:rowOff>114530</xdr:rowOff>
    </xdr:from>
    <xdr:to>
      <xdr:col>7</xdr:col>
      <xdr:colOff>0</xdr:colOff>
      <xdr:row>32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605846</xdr:colOff>
      <xdr:row>1</xdr:row>
      <xdr:rowOff>2192</xdr:rowOff>
    </xdr:from>
    <xdr:to>
      <xdr:col>17</xdr:col>
      <xdr:colOff>496329</xdr:colOff>
      <xdr:row>17</xdr:row>
      <xdr:rowOff>27213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13607</xdr:colOff>
      <xdr:row>18</xdr:row>
      <xdr:rowOff>40821</xdr:rowOff>
    </xdr:from>
    <xdr:to>
      <xdr:col>17</xdr:col>
      <xdr:colOff>530678</xdr:colOff>
      <xdr:row>35</xdr:row>
      <xdr:rowOff>40821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19</xdr:col>
      <xdr:colOff>0</xdr:colOff>
      <xdr:row>11</xdr:row>
      <xdr:rowOff>54428</xdr:rowOff>
    </xdr:from>
    <xdr:to>
      <xdr:col>27</xdr:col>
      <xdr:colOff>23450</xdr:colOff>
      <xdr:row>25</xdr:row>
      <xdr:rowOff>13607</xdr:rowOff>
    </xdr:to>
    <xdr:pic>
      <xdr:nvPicPr>
        <xdr:cNvPr id="7" name="Picture 6" descr="4 Perbedaan GLB dan GLBB [Materi Terlengkap]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03" t="13784" r="7712" b="46366"/>
        <a:stretch/>
      </xdr:blipFill>
      <xdr:spPr bwMode="auto">
        <a:xfrm>
          <a:off x="13661571" y="2149928"/>
          <a:ext cx="4922022" cy="2626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0A47B-9B08-45E0-9BC5-DB2709ACEC7D}">
  <sheetPr codeName="Sheet2"/>
  <dimension ref="A1:T14"/>
  <sheetViews>
    <sheetView zoomScale="71" zoomScaleNormal="51" workbookViewId="0">
      <selection activeCell="H6" sqref="H6"/>
    </sheetView>
  </sheetViews>
  <sheetFormatPr defaultRowHeight="15" x14ac:dyDescent="0.25"/>
  <cols>
    <col min="1" max="1" width="11.5703125" customWidth="1"/>
    <col min="3" max="3" width="11" customWidth="1"/>
    <col min="4" max="4" width="13.42578125" customWidth="1"/>
    <col min="5" max="5" width="15.42578125" customWidth="1"/>
  </cols>
  <sheetData>
    <row r="1" spans="1:20" x14ac:dyDescent="0.25">
      <c r="A1" s="2"/>
      <c r="B1" s="2"/>
      <c r="C1" s="2"/>
      <c r="D1" s="2"/>
      <c r="E1" s="2"/>
    </row>
    <row r="2" spans="1:20" ht="21" x14ac:dyDescent="0.35">
      <c r="A2" s="34" t="s">
        <v>0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</row>
    <row r="4" spans="1:20" x14ac:dyDescent="0.25">
      <c r="A4" s="11" t="s">
        <v>1</v>
      </c>
      <c r="B4" s="1">
        <v>600</v>
      </c>
      <c r="C4" s="32" t="s">
        <v>2</v>
      </c>
      <c r="D4" s="33"/>
      <c r="E4" s="10"/>
      <c r="F4" s="10"/>
    </row>
    <row r="5" spans="1:20" x14ac:dyDescent="0.25">
      <c r="A5" s="11" t="s">
        <v>3</v>
      </c>
      <c r="B5" s="1">
        <v>9.8000000000000007</v>
      </c>
      <c r="C5" s="32" t="s">
        <v>4</v>
      </c>
      <c r="D5" s="33"/>
      <c r="E5" s="9"/>
      <c r="F5" s="35" t="s">
        <v>15</v>
      </c>
      <c r="G5" s="36"/>
      <c r="S5" s="10"/>
      <c r="T5" s="10"/>
    </row>
    <row r="6" spans="1:20" x14ac:dyDescent="0.25">
      <c r="A6" s="11" t="s">
        <v>5</v>
      </c>
      <c r="B6" s="1">
        <v>0</v>
      </c>
      <c r="C6" s="32" t="s">
        <v>6</v>
      </c>
      <c r="D6" s="33"/>
      <c r="E6" s="9"/>
      <c r="F6" s="37" t="s">
        <v>16</v>
      </c>
      <c r="G6" s="38"/>
      <c r="S6" s="9"/>
      <c r="T6" s="9"/>
    </row>
    <row r="7" spans="1:20" x14ac:dyDescent="0.25">
      <c r="A7" s="11" t="s">
        <v>7</v>
      </c>
      <c r="B7" s="1">
        <v>1</v>
      </c>
      <c r="C7" s="32" t="s">
        <v>8</v>
      </c>
      <c r="D7" s="33"/>
      <c r="E7" s="9"/>
      <c r="F7" s="37" t="s">
        <v>17</v>
      </c>
      <c r="G7" s="38"/>
      <c r="S7" s="9"/>
      <c r="T7" s="9"/>
    </row>
    <row r="8" spans="1:20" x14ac:dyDescent="0.25">
      <c r="A8" s="11" t="s">
        <v>9</v>
      </c>
      <c r="B8" s="1">
        <v>10</v>
      </c>
      <c r="C8" s="32" t="s">
        <v>10</v>
      </c>
      <c r="D8" s="33"/>
      <c r="E8" s="2"/>
      <c r="F8" s="37" t="s">
        <v>18</v>
      </c>
      <c r="G8" s="38"/>
      <c r="S8" s="9"/>
      <c r="T8" s="9"/>
    </row>
    <row r="9" spans="1:20" x14ac:dyDescent="0.25">
      <c r="A9" s="11" t="s">
        <v>11</v>
      </c>
      <c r="B9" s="1">
        <f>(B7-B6)/B8</f>
        <v>0.1</v>
      </c>
      <c r="C9" s="32" t="s">
        <v>12</v>
      </c>
      <c r="D9" s="33"/>
      <c r="E9" s="3"/>
    </row>
    <row r="10" spans="1:20" x14ac:dyDescent="0.25">
      <c r="A10" s="11" t="s">
        <v>13</v>
      </c>
      <c r="B10" s="1"/>
      <c r="C10" s="32" t="s">
        <v>14</v>
      </c>
      <c r="D10" s="33"/>
      <c r="E10" s="2"/>
    </row>
    <row r="11" spans="1:20" x14ac:dyDescent="0.25">
      <c r="A11" s="7"/>
      <c r="B11" s="2"/>
      <c r="C11" s="2"/>
      <c r="D11" s="2"/>
      <c r="E11" s="2"/>
      <c r="F11" s="8"/>
    </row>
    <row r="12" spans="1:20" x14ac:dyDescent="0.25">
      <c r="A12" s="30" t="s">
        <v>22</v>
      </c>
      <c r="B12" s="12" t="s">
        <v>23</v>
      </c>
      <c r="C12" s="14" t="s">
        <v>19</v>
      </c>
      <c r="D12" s="4" t="s">
        <v>20</v>
      </c>
      <c r="E12" s="5" t="s">
        <v>21</v>
      </c>
      <c r="F12" s="8"/>
    </row>
    <row r="13" spans="1:20" x14ac:dyDescent="0.25">
      <c r="A13" s="30">
        <v>1</v>
      </c>
      <c r="B13" s="13">
        <v>9.0999999999999837</v>
      </c>
      <c r="C13" s="15">
        <f>(1/2)*$B$5*(B13^2)</f>
        <v>405.76899999999858</v>
      </c>
      <c r="D13" s="16">
        <f>B5*B13</f>
        <v>89.179999999999851</v>
      </c>
      <c r="E13" s="6">
        <f>B4-C13</f>
        <v>194.23100000000142</v>
      </c>
      <c r="F13" s="8"/>
    </row>
    <row r="14" spans="1:20" x14ac:dyDescent="0.25">
      <c r="A14" s="2"/>
    </row>
  </sheetData>
  <mergeCells count="12">
    <mergeCell ref="F8:G8"/>
    <mergeCell ref="C10:D10"/>
    <mergeCell ref="C5:D5"/>
    <mergeCell ref="C6:D6"/>
    <mergeCell ref="C8:D8"/>
    <mergeCell ref="C7:D7"/>
    <mergeCell ref="C9:D9"/>
    <mergeCell ref="C4:D4"/>
    <mergeCell ref="A2:N2"/>
    <mergeCell ref="F5:G5"/>
    <mergeCell ref="F6:G6"/>
    <mergeCell ref="F7:G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ITRA">
          <controlPr defaultSize="0" autoLine="0" r:id="rId5">
            <anchor moveWithCells="1">
              <from>
                <xdr:col>5</xdr:col>
                <xdr:colOff>142875</xdr:colOff>
                <xdr:row>9</xdr:row>
                <xdr:rowOff>142875</xdr:rowOff>
              </from>
              <to>
                <xdr:col>7</xdr:col>
                <xdr:colOff>419100</xdr:colOff>
                <xdr:row>14</xdr:row>
                <xdr:rowOff>38100</xdr:rowOff>
              </to>
            </anchor>
          </controlPr>
        </control>
      </mc:Choice>
      <mc:Fallback>
        <control shapeId="2051" r:id="rId4" name="CITR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BFA61-30CC-432C-849D-FC0DDB0BFF46}">
  <sheetPr codeName="Sheet1"/>
  <dimension ref="A2:H11"/>
  <sheetViews>
    <sheetView tabSelected="1" zoomScale="70" workbookViewId="0">
      <selection activeCell="U5" sqref="U5"/>
    </sheetView>
  </sheetViews>
  <sheetFormatPr defaultRowHeight="15" x14ac:dyDescent="0.25"/>
  <cols>
    <col min="2" max="2" width="13.42578125" customWidth="1"/>
    <col min="3" max="3" width="13.5703125" customWidth="1"/>
    <col min="4" max="4" width="14.7109375" customWidth="1"/>
    <col min="5" max="5" width="16" customWidth="1"/>
    <col min="6" max="6" width="14.7109375" customWidth="1"/>
    <col min="7" max="7" width="13.140625" customWidth="1"/>
  </cols>
  <sheetData>
    <row r="2" spans="1:8" x14ac:dyDescent="0.25">
      <c r="A2" s="41" t="s">
        <v>27</v>
      </c>
      <c r="B2" s="41"/>
      <c r="C2" s="41"/>
      <c r="D2" s="41"/>
      <c r="E2" s="41"/>
      <c r="F2" s="41"/>
      <c r="G2" s="41"/>
      <c r="H2" s="41"/>
    </row>
    <row r="4" spans="1:8" x14ac:dyDescent="0.25">
      <c r="B4" s="29" t="s">
        <v>5</v>
      </c>
      <c r="C4" s="1">
        <v>0</v>
      </c>
      <c r="D4" s="39" t="s">
        <v>6</v>
      </c>
      <c r="E4" s="40"/>
    </row>
    <row r="5" spans="1:8" x14ac:dyDescent="0.25">
      <c r="B5" s="29" t="s">
        <v>7</v>
      </c>
      <c r="C5" s="1">
        <v>1</v>
      </c>
      <c r="D5" s="39" t="s">
        <v>8</v>
      </c>
      <c r="E5" s="40"/>
    </row>
    <row r="6" spans="1:8" x14ac:dyDescent="0.25">
      <c r="B6" s="29" t="s">
        <v>9</v>
      </c>
      <c r="C6" s="1">
        <v>10</v>
      </c>
      <c r="D6" s="39" t="s">
        <v>10</v>
      </c>
      <c r="E6" s="40"/>
    </row>
    <row r="7" spans="1:8" x14ac:dyDescent="0.25">
      <c r="B7" s="29" t="s">
        <v>11</v>
      </c>
      <c r="C7" s="1">
        <f>(C5-C4)/C6</f>
        <v>0.1</v>
      </c>
      <c r="D7" s="39" t="s">
        <v>12</v>
      </c>
      <c r="E7" s="40"/>
    </row>
    <row r="8" spans="1:8" x14ac:dyDescent="0.25">
      <c r="A8" s="18"/>
      <c r="B8" s="17"/>
      <c r="C8" s="19"/>
      <c r="D8" s="17"/>
      <c r="E8" s="17"/>
    </row>
    <row r="9" spans="1:8" x14ac:dyDescent="0.25">
      <c r="A9" s="18"/>
      <c r="B9" s="17"/>
      <c r="C9" s="19"/>
      <c r="D9" s="17"/>
      <c r="E9" s="17"/>
    </row>
    <row r="10" spans="1:8" x14ac:dyDescent="0.25">
      <c r="B10" s="28"/>
      <c r="C10" s="20" t="s">
        <v>23</v>
      </c>
      <c r="D10" s="22" t="s">
        <v>24</v>
      </c>
      <c r="E10" s="24" t="s">
        <v>25</v>
      </c>
      <c r="F10" s="26" t="s">
        <v>26</v>
      </c>
      <c r="G10" s="31" t="s">
        <v>28</v>
      </c>
    </row>
    <row r="11" spans="1:8" x14ac:dyDescent="0.25">
      <c r="B11" s="28">
        <v>0.2</v>
      </c>
      <c r="C11" s="21">
        <v>4.4000000000000004</v>
      </c>
      <c r="D11" s="23">
        <v>0</v>
      </c>
      <c r="E11" s="25">
        <v>9.8000000000000007</v>
      </c>
      <c r="F11" s="27">
        <f>($D$11*C11)+(1/2*(E11)*(C11)^2)</f>
        <v>94.864000000000019</v>
      </c>
      <c r="G11" s="31">
        <f>$D$11+(E11*C11)</f>
        <v>43.120000000000005</v>
      </c>
    </row>
  </sheetData>
  <mergeCells count="5">
    <mergeCell ref="D7:E7"/>
    <mergeCell ref="A2:H2"/>
    <mergeCell ref="D4:E4"/>
    <mergeCell ref="D5:E5"/>
    <mergeCell ref="D6:E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ITRA">
          <controlPr defaultSize="0" autoLine="0" r:id="rId5">
            <anchor moveWithCells="1">
              <from>
                <xdr:col>5</xdr:col>
                <xdr:colOff>666750</xdr:colOff>
                <xdr:row>3</xdr:row>
                <xdr:rowOff>85725</xdr:rowOff>
              </from>
              <to>
                <xdr:col>7</xdr:col>
                <xdr:colOff>571500</xdr:colOff>
                <xdr:row>7</xdr:row>
                <xdr:rowOff>123825</xdr:rowOff>
              </to>
            </anchor>
          </controlPr>
        </control>
      </mc:Choice>
      <mc:Fallback>
        <control shapeId="3073" r:id="rId4" name="CITR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Gerak Jatuh Bebas</vt:lpstr>
      <vt:lpstr>GLBB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PC-ASUS</dc:creator>
  <cp:lastModifiedBy>MyBook14E</cp:lastModifiedBy>
  <dcterms:created xsi:type="dcterms:W3CDTF">2022-09-20T12:15:37Z</dcterms:created>
  <dcterms:modified xsi:type="dcterms:W3CDTF">2022-10-01T03:34:30Z</dcterms:modified>
</cp:coreProperties>
</file>